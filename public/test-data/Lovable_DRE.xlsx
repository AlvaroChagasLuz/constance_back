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varo\Desktop\"/>
    </mc:Choice>
  </mc:AlternateContent>
  <xr:revisionPtr revIDLastSave="0" documentId="13_ncr:1_{90E07E48-5710-4E41-A6FE-B3F7DBCC89FA}" xr6:coauthVersionLast="47" xr6:coauthVersionMax="47" xr10:uidLastSave="{00000000-0000-0000-0000-000000000000}"/>
  <bookViews>
    <workbookView xWindow="-120" yWindow="-120" windowWidth="38640" windowHeight="15840" xr2:uid="{C6D4C6B8-2682-463A-92AC-4ADCC58522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1" l="1"/>
  <c r="E15" i="1"/>
  <c r="D15" i="1"/>
  <c r="C15" i="1"/>
  <c r="F14" i="1"/>
  <c r="E14" i="1"/>
  <c r="D14" i="1"/>
  <c r="C14" i="1"/>
  <c r="F13" i="1"/>
  <c r="E13" i="1"/>
  <c r="D13" i="1"/>
  <c r="C13" i="1"/>
  <c r="F11" i="1"/>
  <c r="E11" i="1"/>
  <c r="D11" i="1"/>
  <c r="C11" i="1"/>
  <c r="F10" i="1"/>
  <c r="E10" i="1"/>
  <c r="D10" i="1"/>
  <c r="C10" i="1"/>
  <c r="F9" i="1"/>
  <c r="E9" i="1"/>
  <c r="D9" i="1"/>
  <c r="C9" i="1"/>
  <c r="F8" i="1"/>
  <c r="E8" i="1"/>
  <c r="D8" i="1"/>
  <c r="C8" i="1"/>
  <c r="F7" i="1"/>
  <c r="E7" i="1"/>
  <c r="D7" i="1"/>
  <c r="C7" i="1"/>
  <c r="F6" i="1"/>
  <c r="E6" i="1"/>
  <c r="D6" i="1"/>
  <c r="C6" i="1"/>
  <c r="F5" i="1"/>
  <c r="E5" i="1"/>
  <c r="D5" i="1"/>
  <c r="C5" i="1"/>
  <c r="F4" i="1"/>
  <c r="E4" i="1"/>
  <c r="D4" i="1"/>
  <c r="C4" i="1"/>
  <c r="E3" i="1"/>
  <c r="F3" i="1" s="1"/>
  <c r="D3" i="1"/>
  <c r="F2" i="1"/>
  <c r="E2" i="1"/>
  <c r="D2" i="1"/>
</calcChain>
</file>

<file path=xl/sharedStrings.xml><?xml version="1.0" encoding="utf-8"?>
<sst xmlns="http://schemas.openxmlformats.org/spreadsheetml/2006/main" count="13" uniqueCount="13">
  <si>
    <t>Receita Bruta</t>
  </si>
  <si>
    <t>(-) Deduções</t>
  </si>
  <si>
    <t>Receita Líquida</t>
  </si>
  <si>
    <t>Lucro Bruto</t>
  </si>
  <si>
    <t>EBITDA</t>
  </si>
  <si>
    <t>(-) Depreciação e Amortização</t>
  </si>
  <si>
    <t>(-) Despesas</t>
  </si>
  <si>
    <t>(-) Custos</t>
  </si>
  <si>
    <t>EBIT</t>
  </si>
  <si>
    <t>(+/-) Receita Financeira</t>
  </si>
  <si>
    <t>Lucro Antes do Imposto (EBT)</t>
  </si>
  <si>
    <t>(-) Imposto</t>
  </si>
  <si>
    <t>Lucro Líquido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</si>
</sst>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0" fillId="0" borderId="0" xfId="0" applyFont="1"/>
    <xf numFmtId="0" fontId="3" fillId="2" borderId="0" xfId="0" applyFont="1" applyFill="1"/>
    <xf numFmtId="0" fontId="1" fillId="2" borderId="0" xfId="0" applyFont="1" applyFill="1"/>
    <xf numFmtId="1" fontId="0" fillId="0" borderId="0" xfId="0" applyNumberFormat="1"/>
    <xf numFmtId="1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B998A-F45F-42AE-9F52-5AB520A9BA96}">
  <dimension ref="B2:F15"/>
  <sheetViews>
    <sheetView showGridLines="0" tabSelected="1" workbookViewId="0">
      <selection activeCell="J11" sqref="J11"/>
    </sheetView>
  </sheetViews>
  <sheetFormatPr defaultRowHeight="15" x14ac:dyDescent="0.25"/>
  <cols>
    <col min="2" max="2" width="28.42578125" bestFit="1" customWidth="1"/>
  </cols>
  <sheetData>
    <row r="2" spans="2:6" x14ac:dyDescent="0.25">
      <c r="B2" s="3"/>
      <c r="C2" s="4">
        <v>2023</v>
      </c>
      <c r="D2" s="4">
        <f>C2+1</f>
        <v>2024</v>
      </c>
      <c r="E2" s="4">
        <f>D2+1</f>
        <v>2025</v>
      </c>
      <c r="F2" s="4">
        <f>E2+1</f>
        <v>2026</v>
      </c>
    </row>
    <row r="3" spans="2:6" x14ac:dyDescent="0.25">
      <c r="B3" s="1" t="s">
        <v>0</v>
      </c>
      <c r="C3" s="1">
        <v>100</v>
      </c>
      <c r="D3" s="1">
        <f>C3+200</f>
        <v>300</v>
      </c>
      <c r="E3" s="1">
        <f t="shared" ref="E3:F3" si="0">D3+200</f>
        <v>500</v>
      </c>
      <c r="F3" s="1">
        <f t="shared" si="0"/>
        <v>700</v>
      </c>
    </row>
    <row r="4" spans="2:6" x14ac:dyDescent="0.25">
      <c r="B4" s="2" t="s">
        <v>1</v>
      </c>
      <c r="C4">
        <f>-(C3*0.02)</f>
        <v>-2</v>
      </c>
      <c r="D4">
        <f t="shared" ref="D4:F4" si="1">-(D3*0.02)</f>
        <v>-6</v>
      </c>
      <c r="E4">
        <f t="shared" si="1"/>
        <v>-10</v>
      </c>
      <c r="F4">
        <f t="shared" si="1"/>
        <v>-14</v>
      </c>
    </row>
    <row r="5" spans="2:6" x14ac:dyDescent="0.25">
      <c r="B5" s="1" t="s">
        <v>2</v>
      </c>
      <c r="C5" s="1">
        <f>SUM(C3:C4)</f>
        <v>98</v>
      </c>
      <c r="D5" s="1">
        <f t="shared" ref="D5:F5" si="2">SUM(D3:D4)</f>
        <v>294</v>
      </c>
      <c r="E5" s="1">
        <f t="shared" si="2"/>
        <v>490</v>
      </c>
      <c r="F5" s="1">
        <f t="shared" si="2"/>
        <v>686</v>
      </c>
    </row>
    <row r="6" spans="2:6" x14ac:dyDescent="0.25">
      <c r="B6" s="2" t="s">
        <v>7</v>
      </c>
      <c r="C6" s="5">
        <f>-(C5*0.15)</f>
        <v>-14.7</v>
      </c>
      <c r="D6" s="5">
        <f t="shared" ref="D6:F6" si="3">-(D5*0.15)</f>
        <v>-44.1</v>
      </c>
      <c r="E6" s="5">
        <f t="shared" si="3"/>
        <v>-73.5</v>
      </c>
      <c r="F6" s="5">
        <f t="shared" si="3"/>
        <v>-102.89999999999999</v>
      </c>
    </row>
    <row r="7" spans="2:6" x14ac:dyDescent="0.25">
      <c r="B7" s="1" t="s">
        <v>3</v>
      </c>
      <c r="C7" s="6">
        <f>SUM(C5:C6)</f>
        <v>83.3</v>
      </c>
      <c r="D7" s="6">
        <f t="shared" ref="D7" si="4">SUM(D5:D6)</f>
        <v>249.9</v>
      </c>
      <c r="E7" s="6">
        <f t="shared" ref="E7" si="5">SUM(E5:E6)</f>
        <v>416.5</v>
      </c>
      <c r="F7" s="6">
        <f t="shared" ref="F7" si="6">SUM(F5:F6)</f>
        <v>583.1</v>
      </c>
    </row>
    <row r="8" spans="2:6" x14ac:dyDescent="0.25">
      <c r="B8" s="2" t="s">
        <v>6</v>
      </c>
      <c r="C8" s="5">
        <f>-(C7*0.15)</f>
        <v>-12.494999999999999</v>
      </c>
      <c r="D8" s="5">
        <f>-(D7*0.14)</f>
        <v>-34.986000000000004</v>
      </c>
      <c r="E8" s="5">
        <f>-(E7*0.13)</f>
        <v>-54.145000000000003</v>
      </c>
      <c r="F8" s="5">
        <f>-(F7*0.12)</f>
        <v>-69.971999999999994</v>
      </c>
    </row>
    <row r="9" spans="2:6" x14ac:dyDescent="0.25">
      <c r="B9" s="1" t="s">
        <v>4</v>
      </c>
      <c r="C9" s="6">
        <f>SUM(C7:C8)</f>
        <v>70.804999999999993</v>
      </c>
      <c r="D9" s="6">
        <f t="shared" ref="D9" si="7">SUM(D7:D8)</f>
        <v>214.91399999999999</v>
      </c>
      <c r="E9" s="6">
        <f t="shared" ref="E9" si="8">SUM(E7:E8)</f>
        <v>362.35500000000002</v>
      </c>
      <c r="F9" s="6">
        <f t="shared" ref="F9" si="9">SUM(F7:F8)</f>
        <v>513.12800000000004</v>
      </c>
    </row>
    <row r="10" spans="2:6" x14ac:dyDescent="0.25">
      <c r="B10" s="2" t="s">
        <v>5</v>
      </c>
      <c r="C10" s="5">
        <f>-(C5*0.02)</f>
        <v>-1.96</v>
      </c>
      <c r="D10" s="5">
        <f t="shared" ref="D10:F10" si="10">-(D5*0.02)</f>
        <v>-5.88</v>
      </c>
      <c r="E10" s="5">
        <f t="shared" si="10"/>
        <v>-9.8000000000000007</v>
      </c>
      <c r="F10" s="5">
        <f t="shared" si="10"/>
        <v>-13.72</v>
      </c>
    </row>
    <row r="11" spans="2:6" x14ac:dyDescent="0.25">
      <c r="B11" s="1" t="s">
        <v>8</v>
      </c>
      <c r="C11" s="6">
        <f>SUM(C9:C10)</f>
        <v>68.844999999999999</v>
      </c>
      <c r="D11" s="6">
        <f t="shared" ref="D11" si="11">SUM(D9:D10)</f>
        <v>209.03399999999999</v>
      </c>
      <c r="E11" s="6">
        <f t="shared" ref="E11" si="12">SUM(E9:E10)</f>
        <v>352.55500000000001</v>
      </c>
      <c r="F11" s="6">
        <f t="shared" ref="F11" si="13">SUM(F9:F10)</f>
        <v>499.40800000000002</v>
      </c>
    </row>
    <row r="12" spans="2:6" x14ac:dyDescent="0.25">
      <c r="B12" s="2" t="s">
        <v>9</v>
      </c>
      <c r="C12">
        <v>-1</v>
      </c>
      <c r="D12">
        <v>-1</v>
      </c>
      <c r="E12">
        <v>-1</v>
      </c>
      <c r="F12">
        <v>-1</v>
      </c>
    </row>
    <row r="13" spans="2:6" x14ac:dyDescent="0.25">
      <c r="B13" s="1" t="s">
        <v>10</v>
      </c>
      <c r="C13" s="6">
        <f>SUM(C11:C12)</f>
        <v>67.844999999999999</v>
      </c>
      <c r="D13" s="6">
        <f t="shared" ref="D13" si="14">SUM(D11:D12)</f>
        <v>208.03399999999999</v>
      </c>
      <c r="E13" s="6">
        <f t="shared" ref="E13" si="15">SUM(E11:E12)</f>
        <v>351.55500000000001</v>
      </c>
      <c r="F13" s="6">
        <f t="shared" ref="F13" si="16">SUM(F11:F12)</f>
        <v>498.40800000000002</v>
      </c>
    </row>
    <row r="14" spans="2:6" x14ac:dyDescent="0.25">
      <c r="B14" s="2" t="s">
        <v>11</v>
      </c>
      <c r="C14" s="5">
        <f>-(C13*0.34)</f>
        <v>-23.067300000000003</v>
      </c>
      <c r="D14" s="5">
        <f t="shared" ref="D14:F14" si="17">-(D13*0.34)</f>
        <v>-70.731560000000002</v>
      </c>
      <c r="E14" s="5">
        <f t="shared" si="17"/>
        <v>-119.52870000000001</v>
      </c>
      <c r="F14" s="5">
        <f t="shared" si="17"/>
        <v>-169.45872000000003</v>
      </c>
    </row>
    <row r="15" spans="2:6" x14ac:dyDescent="0.25">
      <c r="B15" s="1" t="s">
        <v>12</v>
      </c>
      <c r="C15" s="6">
        <f>SUM(C13:C14)</f>
        <v>44.777699999999996</v>
      </c>
      <c r="D15" s="6">
        <f t="shared" ref="D15" si="18">SUM(D13:D14)</f>
        <v>137.30243999999999</v>
      </c>
      <c r="E15" s="6">
        <f t="shared" ref="E15" si="19">SUM(E13:E14)</f>
        <v>232.02629999999999</v>
      </c>
      <c r="F15" s="6">
        <f t="shared" ref="F15" si="20">SUM(F13:F14)</f>
        <v>328.94927999999999</v>
      </c>
    </row>
  </sheetData>
  <pageMargins left="0.7" right="0.7" top="0.75" bottom="0.75" header="0.3" footer="0.3"/>
  <ignoredErrors>
    <ignoredError sqref="C6:F6 C7:F8 C10:F10 C14:F14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Álvaro chagas</dc:creator>
  <cp:lastModifiedBy>Álvaro chagas</cp:lastModifiedBy>
  <dcterms:created xsi:type="dcterms:W3CDTF">2026-02-02T22:46:32Z</dcterms:created>
  <dcterms:modified xsi:type="dcterms:W3CDTF">2026-02-02T23:04:52Z</dcterms:modified>
</cp:coreProperties>
</file>